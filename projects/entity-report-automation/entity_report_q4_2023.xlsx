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arge Corporate" sheetId="2" state="visible" r:id="rId2"/>
    <sheet name="SME Portfolio" sheetId="3" state="visible" r:id="rId3"/>
    <sheet name="Micro Enterprises" sheetId="4" state="visible" r:id="rId4"/>
    <sheet name="Sector Analysis" sheetId="5" state="visible" r:id="rId5"/>
    <sheet name="Geographic Distribution" sheetId="6" state="visible" r:id="rId6"/>
    <sheet name="Collateral Coverage" sheetId="7" state="visible" r:id="rId7"/>
    <sheet name="Provisions Movement" sheetId="8" state="visible" r:id="rId8"/>
    <sheet name="IFRS9 Staging" sheetId="9" state="visible" r:id="rId9"/>
    <sheet name="Concentration Risk" sheetId="10" state="visible" r:id="rId10"/>
    <sheet name="FX Exposure" sheetId="11" state="visible" r:id="rId11"/>
    <sheet name="Maturity Profile" sheetId="12" state="visible" r:id="rId12"/>
    <sheet name="Data Sources" sheetId="13" state="visible" r:id="rId13"/>
    <sheet name="SQL Queries" sheetId="14" state="visible" r:id="rId14"/>
    <sheet name="Calculation Notes" sheetId="15" state="visible" r:id="rId15"/>
    <sheet name="Archive Q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718096"/>
      <sz val="12"/>
    </font>
    <font>
      <i val="1"/>
      <color rgb="00a0aec0"/>
      <sz val="9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  <fill>
      <patternFill patternType="solid">
        <fgColor rgb="003182ce"/>
        <bgColor rgb="003182ce"/>
      </patternFill>
    </fill>
  </fills>
  <borders count="2">
    <border>
      <left/>
      <right/>
      <top/>
      <bottom/>
      <diagonal/>
    </border>
    <border>
      <left style="thin">
        <color rgb="00a0aec0"/>
      </left>
      <right style="thin">
        <color rgb="00a0aec0"/>
      </right>
      <top style="thin">
        <color rgb="00a0aec0"/>
      </top>
      <bottom style="thin">
        <color rgb="00a0ae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Exposure by Rating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Summary'!I3</f>
            </strRef>
          </tx>
          <spPr>
            <a:ln>
              <a:prstDash val="solid"/>
            </a:ln>
          </spPr>
          <cat>
            <numRef>
              <f>'Executive Summary'!$G$4:$G$8</f>
            </numRef>
          </cat>
          <val>
            <numRef>
              <f>'Executive Summary'!$I$4:$I$8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Exposure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Summary'!D12</f>
            </strRef>
          </tx>
          <spPr>
            <a:ln>
              <a:prstDash val="solid"/>
            </a:ln>
          </spPr>
          <cat>
            <numRef>
              <f>'Executive Summary'!$B$13:$B$17</f>
            </numRef>
          </cat>
          <val>
            <numRef>
              <f>'Executive Summary'!$D$13:$D$17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 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2">
      <c r="B2" s="1" t="inlineStr">
        <is>
          <t>Portfolio Overview</t>
        </is>
      </c>
      <c r="G2" s="1" t="inlineStr">
        <is>
          <t>Risk Rating Distribution</t>
        </is>
      </c>
    </row>
    <row r="3">
      <c r="B3" s="2" t="inlineStr">
        <is>
          <t>Metric</t>
        </is>
      </c>
      <c r="C3" s="2" t="inlineStr">
        <is>
          <t>Current</t>
        </is>
      </c>
      <c r="D3" s="2" t="inlineStr">
        <is>
          <t>Previous</t>
        </is>
      </c>
      <c r="E3" s="2" t="inlineStr">
        <is>
          <t>Change %</t>
        </is>
      </c>
      <c r="G3" s="2" t="inlineStr">
        <is>
          <t>Rating</t>
        </is>
      </c>
      <c r="H3" s="2" t="inlineStr">
        <is>
          <t>Count</t>
        </is>
      </c>
      <c r="I3" s="2" t="inlineStr">
        <is>
          <t>Exposure (M)</t>
        </is>
      </c>
      <c r="J3" s="2" t="inlineStr">
        <is>
          <t>% Total</t>
        </is>
      </c>
    </row>
    <row r="4">
      <c r="B4" s="3" t="inlineStr">
        <is>
          <t>Total Exposure (M PLN)</t>
        </is>
      </c>
      <c r="C4" s="4" t="n">
        <v>45892</v>
      </c>
      <c r="D4" s="4" t="n">
        <v>43567</v>
      </c>
      <c r="E4" s="5" t="n">
        <v>5.3</v>
      </c>
      <c r="G4" s="3" t="inlineStr">
        <is>
          <t>AAA-AA</t>
        </is>
      </c>
      <c r="H4" s="6" t="n">
        <v>245</v>
      </c>
      <c r="I4" s="6" t="n">
        <v>8920</v>
      </c>
      <c r="J4" s="7" t="n">
        <v>19.4</v>
      </c>
    </row>
    <row r="5">
      <c r="B5" s="3" t="inlineStr">
        <is>
          <t>NPL Ratio (%)</t>
        </is>
      </c>
      <c r="C5" s="6" t="n">
        <v>2.8</v>
      </c>
      <c r="D5" s="6" t="n">
        <v>3.1</v>
      </c>
      <c r="E5" s="8" t="n">
        <v>-9.699999999999999</v>
      </c>
      <c r="G5" s="3" t="inlineStr">
        <is>
          <t>A</t>
        </is>
      </c>
      <c r="H5" s="6" t="n">
        <v>512</v>
      </c>
      <c r="I5" s="6" t="n">
        <v>12450</v>
      </c>
      <c r="J5" s="7" t="n">
        <v>27.1</v>
      </c>
    </row>
    <row r="6">
      <c r="B6" s="3" t="inlineStr">
        <is>
          <t>Coverage Ratio (%)</t>
        </is>
      </c>
      <c r="C6" s="6" t="n">
        <v>68.5</v>
      </c>
      <c r="D6" s="6" t="n">
        <v>65.2</v>
      </c>
      <c r="E6" s="5" t="n">
        <v>5.1</v>
      </c>
      <c r="G6" s="3" t="inlineStr">
        <is>
          <t>BBB</t>
        </is>
      </c>
      <c r="H6" s="6" t="n">
        <v>834</v>
      </c>
      <c r="I6" s="6" t="n">
        <v>15670</v>
      </c>
      <c r="J6" s="7" t="n">
        <v>34.2</v>
      </c>
    </row>
    <row r="7">
      <c r="B7" s="3" t="inlineStr">
        <is>
          <t>RWA (M PLN)</t>
        </is>
      </c>
      <c r="C7" s="6" t="n">
        <v>28456</v>
      </c>
      <c r="D7" s="6" t="n">
        <v>27890</v>
      </c>
      <c r="E7" s="5" t="n">
        <v>2</v>
      </c>
      <c r="G7" s="3" t="inlineStr">
        <is>
          <t>BB</t>
        </is>
      </c>
      <c r="H7" s="6" t="n">
        <v>356</v>
      </c>
      <c r="I7" s="6" t="n">
        <v>6234</v>
      </c>
      <c r="J7" s="7" t="n">
        <v>13.6</v>
      </c>
    </row>
    <row r="8">
      <c r="B8" s="3" t="inlineStr">
        <is>
          <t>Expected Loss (M PLN)</t>
        </is>
      </c>
      <c r="C8" s="6" t="n">
        <v>892</v>
      </c>
      <c r="D8" s="6" t="n">
        <v>945</v>
      </c>
      <c r="E8" s="8" t="n">
        <v>-5.6</v>
      </c>
      <c r="G8" s="3" t="inlineStr">
        <is>
          <t>B &amp; Below</t>
        </is>
      </c>
      <c r="H8" s="6" t="n">
        <v>189</v>
      </c>
      <c r="I8" s="6" t="n">
        <v>2618</v>
      </c>
      <c r="J8" s="7" t="n">
        <v>5.7</v>
      </c>
    </row>
    <row r="11">
      <c r="B11" s="1" t="inlineStr">
        <is>
          <t>Segment Breakdown</t>
        </is>
      </c>
    </row>
    <row r="12">
      <c r="B12" s="2" t="inlineStr">
        <is>
          <t>Segment</t>
        </is>
      </c>
      <c r="C12" s="2" t="inlineStr">
        <is>
          <t>Clients</t>
        </is>
      </c>
      <c r="D12" s="2" t="inlineStr">
        <is>
          <t>Exposure</t>
        </is>
      </c>
      <c r="E12" s="2" t="inlineStr">
        <is>
          <t>NPL</t>
        </is>
      </c>
      <c r="F12" s="2" t="inlineStr">
        <is>
          <t>Coverage</t>
        </is>
      </c>
    </row>
    <row r="13">
      <c r="B13" s="3" t="inlineStr">
        <is>
          <t>Large Corporate</t>
        </is>
      </c>
      <c r="C13" s="6" t="n">
        <v>156</v>
      </c>
      <c r="D13" s="6" t="n">
        <v>18450</v>
      </c>
      <c r="E13" s="7" t="n">
        <v>1.2</v>
      </c>
      <c r="F13" s="7" t="n">
        <v>72.5</v>
      </c>
    </row>
    <row r="14">
      <c r="B14" s="3" t="inlineStr">
        <is>
          <t>SME</t>
        </is>
      </c>
      <c r="C14" s="6" t="n">
        <v>1245</v>
      </c>
      <c r="D14" s="6" t="n">
        <v>12890</v>
      </c>
      <c r="E14" s="7" t="n">
        <v>3.8</v>
      </c>
      <c r="F14" s="7" t="n">
        <v>65.2</v>
      </c>
    </row>
    <row r="15">
      <c r="B15" s="3" t="inlineStr">
        <is>
          <t>Micro Enterprise</t>
        </is>
      </c>
      <c r="C15" s="6" t="n">
        <v>3567</v>
      </c>
      <c r="D15" s="6" t="n">
        <v>8234</v>
      </c>
      <c r="E15" s="7" t="n">
        <v>4.5</v>
      </c>
      <c r="F15" s="7" t="n">
        <v>58.9</v>
      </c>
    </row>
    <row r="16">
      <c r="B16" s="3" t="inlineStr">
        <is>
          <t>Specialized Lending</t>
        </is>
      </c>
      <c r="C16" s="6" t="n">
        <v>89</v>
      </c>
      <c r="D16" s="6" t="n">
        <v>4120</v>
      </c>
      <c r="E16" s="7" t="n">
        <v>2.1</v>
      </c>
      <c r="F16" s="7" t="n">
        <v>78.3</v>
      </c>
    </row>
    <row r="17">
      <c r="B17" s="3" t="inlineStr">
        <is>
          <t>Project Finance</t>
        </is>
      </c>
      <c r="C17" s="6" t="n">
        <v>34</v>
      </c>
      <c r="D17" s="6" t="n">
        <v>2198</v>
      </c>
      <c r="E17" s="7" t="n">
        <v>0.8</v>
      </c>
      <c r="F17" s="7" t="n">
        <v>82.09999999999999</v>
      </c>
    </row>
    <row r="20">
      <c r="B20" s="1" t="inlineStr">
        <is>
          <t>Key Risk Indicators</t>
        </is>
      </c>
      <c r="G20" s="1" t="inlineStr">
        <is>
          <t>Monthly Exposure Trend (M PLN)</t>
        </is>
      </c>
    </row>
    <row r="21">
      <c r="B21" s="2" t="inlineStr">
        <is>
          <t>Indicator</t>
        </is>
      </c>
      <c r="C21" s="2" t="inlineStr">
        <is>
          <t>Threshold</t>
        </is>
      </c>
      <c r="D21" s="2" t="inlineStr">
        <is>
          <t>Actual</t>
        </is>
      </c>
      <c r="E21" s="2" t="inlineStr">
        <is>
          <t>Status</t>
        </is>
      </c>
      <c r="G21" s="9" t="inlineStr">
        <is>
          <t>Jul</t>
        </is>
      </c>
      <c r="H21" s="9" t="inlineStr">
        <is>
          <t>Aug</t>
        </is>
      </c>
      <c r="I21" s="9" t="inlineStr">
        <is>
          <t>Sep</t>
        </is>
      </c>
      <c r="J21" s="9" t="inlineStr">
        <is>
          <t>Oct</t>
        </is>
      </c>
      <c r="K21" s="9" t="inlineStr">
        <is>
          <t>Nov</t>
        </is>
      </c>
      <c r="L21" s="9" t="inlineStr">
        <is>
          <t>Dec</t>
        </is>
      </c>
    </row>
    <row r="22">
      <c r="B22" s="3" t="inlineStr">
        <is>
          <t>NPL Ratio</t>
        </is>
      </c>
      <c r="C22" s="3" t="inlineStr">
        <is>
          <t>&lt; 4.0%</t>
        </is>
      </c>
      <c r="D22" s="3" t="inlineStr">
        <is>
          <t>2.8%</t>
        </is>
      </c>
      <c r="E22" s="10" t="inlineStr">
        <is>
          <t>OK</t>
        </is>
      </c>
      <c r="G22" s="6" t="n">
        <v>42890</v>
      </c>
      <c r="H22" s="6" t="n">
        <v>43120</v>
      </c>
      <c r="I22" s="6" t="n">
        <v>43567</v>
      </c>
      <c r="J22" s="6" t="n">
        <v>44230</v>
      </c>
      <c r="K22" s="6" t="n">
        <v>45120</v>
      </c>
      <c r="L22" s="6" t="n">
        <v>45892</v>
      </c>
    </row>
    <row r="23">
      <c r="B23" s="3" t="inlineStr">
        <is>
          <t>LTV &gt; 100%</t>
        </is>
      </c>
      <c r="C23" s="3" t="inlineStr">
        <is>
          <t>&lt; 5.0%</t>
        </is>
      </c>
      <c r="D23" s="3" t="inlineStr">
        <is>
          <t>3.2%</t>
        </is>
      </c>
      <c r="E23" s="10" t="inlineStr">
        <is>
          <t>OK</t>
        </is>
      </c>
    </row>
    <row r="24">
      <c r="B24" s="3" t="inlineStr">
        <is>
          <t>Single Name Conc.</t>
        </is>
      </c>
      <c r="C24" s="3" t="inlineStr">
        <is>
          <t>&lt; 3.0%</t>
        </is>
      </c>
      <c r="D24" s="3" t="inlineStr">
        <is>
          <t>2.1%</t>
        </is>
      </c>
      <c r="E24" s="10" t="inlineStr">
        <is>
          <t>OK</t>
        </is>
      </c>
    </row>
    <row r="25">
      <c r="B25" s="3" t="inlineStr">
        <is>
          <t>Sector Concentration</t>
        </is>
      </c>
      <c r="C25" s="3" t="inlineStr">
        <is>
          <t>&lt; 15.0%</t>
        </is>
      </c>
      <c r="D25" s="3" t="inlineStr">
        <is>
          <t>14.8%</t>
        </is>
      </c>
      <c r="E25" s="11" t="inlineStr">
        <is>
          <t>WARN</t>
        </is>
      </c>
    </row>
    <row r="26">
      <c r="B26" s="3" t="inlineStr">
        <is>
          <t>FX Exposure</t>
        </is>
      </c>
      <c r="C26" s="3" t="inlineStr">
        <is>
          <t>&lt; 25.0%</t>
        </is>
      </c>
      <c r="D26" s="3" t="inlineStr">
        <is>
          <t>18.5%</t>
        </is>
      </c>
      <c r="E26" s="10" t="inlineStr">
        <is>
          <t>OK</t>
        </is>
      </c>
    </row>
    <row r="27">
      <c r="B27" s="3" t="inlineStr">
        <is>
          <t>Covenant Breaches</t>
        </is>
      </c>
      <c r="C27" s="3" t="inlineStr">
        <is>
          <t>&lt; 2.0%</t>
        </is>
      </c>
      <c r="D27" s="3" t="inlineStr">
        <is>
          <t>2.3%</t>
        </is>
      </c>
      <c r="E27" s="12" t="inlineStr">
        <is>
          <t>BREACH</t>
        </is>
      </c>
    </row>
    <row r="30">
      <c r="B30" s="1" t="inlineStr">
        <is>
          <t>Vintage Analysis - Default Rates by Origination Year</t>
        </is>
      </c>
      <c r="J30" s="1" t="inlineStr">
        <is>
          <t>Watch List Summary</t>
        </is>
      </c>
    </row>
    <row r="31">
      <c r="B31" s="2" t="inlineStr">
        <is>
          <t>Vintage</t>
        </is>
      </c>
      <c r="C31" s="2" t="inlineStr">
        <is>
          <t>2019</t>
        </is>
      </c>
      <c r="D31" s="2" t="inlineStr">
        <is>
          <t>2020</t>
        </is>
      </c>
      <c r="E31" s="2" t="inlineStr">
        <is>
          <t>2021</t>
        </is>
      </c>
      <c r="F31" s="2" t="inlineStr">
        <is>
          <t>2022</t>
        </is>
      </c>
      <c r="G31" s="2" t="inlineStr">
        <is>
          <t>2023</t>
        </is>
      </c>
      <c r="H31" s="2" t="inlineStr">
        <is>
          <t>Total Exp</t>
        </is>
      </c>
      <c r="J31" s="2" t="inlineStr">
        <is>
          <t>Category</t>
        </is>
      </c>
      <c r="K31" s="2" t="inlineStr">
        <is>
          <t>Count</t>
        </is>
      </c>
      <c r="L31" s="2" t="inlineStr">
        <is>
          <t>Exposure</t>
        </is>
      </c>
      <c r="M31" s="2" t="inlineStr">
        <is>
          <t>% Port</t>
        </is>
      </c>
      <c r="N31" s="2" t="inlineStr">
        <is>
          <t>Action</t>
        </is>
      </c>
    </row>
    <row r="32">
      <c r="B32" s="3" t="inlineStr">
        <is>
          <t>Year 1</t>
        </is>
      </c>
      <c r="C32" s="7" t="n">
        <v>0.5</v>
      </c>
      <c r="D32" s="7" t="n">
        <v>0.8</v>
      </c>
      <c r="E32" s="7" t="n">
        <v>0.4</v>
      </c>
      <c r="F32" s="7" t="n">
        <v>0.6</v>
      </c>
      <c r="G32" s="7" t="n">
        <v>0.3</v>
      </c>
      <c r="H32" s="6" t="n">
        <v>8920</v>
      </c>
      <c r="J32" s="3" t="inlineStr">
        <is>
          <t>Early Warning</t>
        </is>
      </c>
      <c r="K32" s="4" t="n">
        <v>45</v>
      </c>
      <c r="L32" s="6" t="n">
        <v>1234</v>
      </c>
      <c r="M32" s="7" t="n">
        <v>2.7</v>
      </c>
      <c r="N32" s="3" t="inlineStr">
        <is>
          <t>Monitor</t>
        </is>
      </c>
    </row>
    <row r="33">
      <c r="B33" s="3" t="inlineStr">
        <is>
          <t>Year 2</t>
        </is>
      </c>
      <c r="C33" s="7" t="n">
        <v>1.2</v>
      </c>
      <c r="D33" s="7" t="n">
        <v>1.5</v>
      </c>
      <c r="E33" s="7" t="n">
        <v>1.1</v>
      </c>
      <c r="F33" s="7" t="n">
        <v>0.9</v>
      </c>
      <c r="G33" s="3" t="inlineStr">
        <is>
          <t>-</t>
        </is>
      </c>
      <c r="H33" s="6" t="n">
        <v>12450</v>
      </c>
      <c r="J33" s="3" t="inlineStr">
        <is>
          <t>Under Review</t>
        </is>
      </c>
      <c r="K33" s="4" t="n">
        <v>23</v>
      </c>
      <c r="L33" s="6" t="n">
        <v>890</v>
      </c>
      <c r="M33" s="7" t="n">
        <v>1.9</v>
      </c>
      <c r="N33" s="3" t="inlineStr">
        <is>
          <t>Assess</t>
        </is>
      </c>
    </row>
    <row r="34">
      <c r="B34" s="3" t="inlineStr">
        <is>
          <t>Year 3</t>
        </is>
      </c>
      <c r="C34" s="7" t="n">
        <v>2.1</v>
      </c>
      <c r="D34" s="7" t="n">
        <v>2.4</v>
      </c>
      <c r="E34" s="7" t="n">
        <v>1.8</v>
      </c>
      <c r="F34" s="3" t="inlineStr">
        <is>
          <t>-</t>
        </is>
      </c>
      <c r="G34" s="3" t="inlineStr">
        <is>
          <t>-</t>
        </is>
      </c>
      <c r="H34" s="6" t="n">
        <v>15670</v>
      </c>
      <c r="J34" s="3" t="inlineStr">
        <is>
          <t>Restructured</t>
        </is>
      </c>
      <c r="K34" s="4" t="n">
        <v>12</v>
      </c>
      <c r="L34" s="6" t="n">
        <v>456</v>
      </c>
      <c r="M34" s="7" t="n">
        <v>1</v>
      </c>
      <c r="N34" s="3" t="inlineStr">
        <is>
          <t>Follow-up</t>
        </is>
      </c>
    </row>
    <row r="35">
      <c r="B35" s="3" t="inlineStr">
        <is>
          <t>Year 4</t>
        </is>
      </c>
      <c r="C35" s="7" t="n">
        <v>2.8</v>
      </c>
      <c r="D35" s="7" t="n">
        <v>2.9</v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6" t="n">
        <v>6234</v>
      </c>
      <c r="J35" s="3" t="inlineStr">
        <is>
          <t>Recovery</t>
        </is>
      </c>
      <c r="K35" s="4" t="n">
        <v>8</v>
      </c>
      <c r="L35" s="6" t="n">
        <v>234</v>
      </c>
      <c r="M35" s="7" t="n">
        <v>0.5</v>
      </c>
      <c r="N35" s="3" t="inlineStr">
        <is>
          <t>Workout</t>
        </is>
      </c>
    </row>
    <row r="36">
      <c r="B36" s="3" t="inlineStr">
        <is>
          <t>Year 5+</t>
        </is>
      </c>
      <c r="C36" s="7" t="n">
        <v>3.2</v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6" t="n">
        <v>2618</v>
      </c>
    </row>
  </sheetData>
  <mergeCells count="7">
    <mergeCell ref="J30:N30"/>
    <mergeCell ref="B11:F11"/>
    <mergeCell ref="B30:H30"/>
    <mergeCell ref="G2:J2"/>
    <mergeCell ref="B2:E2"/>
    <mergeCell ref="B20:E20"/>
    <mergeCell ref="G20:L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Large Corporate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SME Portfolio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Micro Enterprises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Sector Analysis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Geographic Distribution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Collateral Coverage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Provisions Movement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IFRS9 Staging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Concentration Risk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FX Exposure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Maturity Profile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Data Sources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SQL Queries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Calculation Notes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Archive Q3 - Data</t>
        </is>
      </c>
    </row>
    <row r="3">
      <c r="B3" s="14" t="inlineStr">
        <is>
          <t>Source: Multiple SQL queries and Excel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2026-01-19T15:22:25Z</dcterms:created>
  <dcterms:modified xsi:type="dcterms:W3CDTF">2026-01-19T15:22:25Z</dcterms:modified>
</cp:coreProperties>
</file>